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外发版" sheetId="2" r:id="rId1"/>
    <sheet name="内部预留版" sheetId="1" r:id="rId2"/>
  </sheets>
  <definedNames>
    <definedName name="_xlnm.Print_Titles" localSheetId="0">外发版!$1:$2</definedName>
  </definedNames>
  <calcPr calcId="152511"/>
</workbook>
</file>

<file path=xl/calcChain.xml><?xml version="1.0" encoding="utf-8"?>
<calcChain xmlns="http://schemas.openxmlformats.org/spreadsheetml/2006/main">
  <c r="B30" i="2" l="1"/>
  <c r="B29" i="2"/>
  <c r="B28" i="2"/>
  <c r="B26" i="2"/>
  <c r="B24" i="2"/>
  <c r="B23" i="2"/>
  <c r="B22" i="2"/>
  <c r="B21" i="2"/>
  <c r="B19" i="2"/>
  <c r="B18" i="2"/>
  <c r="B17" i="2"/>
  <c r="B16" i="2"/>
  <c r="B14" i="2"/>
  <c r="B12" i="2"/>
  <c r="B11" i="2"/>
  <c r="B9" i="2"/>
  <c r="B7" i="2"/>
  <c r="B6" i="2"/>
  <c r="B5" i="2"/>
  <c r="B4" i="2"/>
  <c r="B3" i="2"/>
  <c r="B52" i="1"/>
  <c r="B51" i="1"/>
  <c r="B50" i="1"/>
  <c r="B49" i="1"/>
  <c r="B47" i="1"/>
  <c r="B46" i="1"/>
  <c r="B45" i="1"/>
  <c r="B44" i="1"/>
  <c r="B43" i="1"/>
  <c r="B41" i="1"/>
  <c r="B40" i="1"/>
  <c r="B39" i="1"/>
  <c r="B38" i="1"/>
  <c r="B37" i="1"/>
  <c r="B15" i="1"/>
  <c r="B16" i="1"/>
  <c r="B17" i="1"/>
  <c r="B18" i="1"/>
  <c r="B19" i="1"/>
  <c r="B20" i="1"/>
  <c r="B22" i="1"/>
  <c r="B23" i="1"/>
  <c r="B24" i="1"/>
  <c r="B26" i="1"/>
  <c r="B27" i="1"/>
  <c r="B28" i="1"/>
  <c r="B29" i="1"/>
  <c r="B30" i="1"/>
  <c r="B31" i="1"/>
  <c r="B32" i="1"/>
  <c r="B33" i="1"/>
  <c r="B34" i="1"/>
  <c r="B36" i="1"/>
  <c r="B3" i="1"/>
  <c r="B4" i="1"/>
  <c r="B5" i="1"/>
  <c r="B6" i="1"/>
  <c r="B7" i="1"/>
  <c r="B9" i="1"/>
  <c r="B10" i="1"/>
  <c r="B11" i="1"/>
  <c r="B12" i="1"/>
  <c r="B13" i="1"/>
  <c r="B2" i="1"/>
</calcChain>
</file>

<file path=xl/sharedStrings.xml><?xml version="1.0" encoding="utf-8"?>
<sst xmlns="http://schemas.openxmlformats.org/spreadsheetml/2006/main" count="261" uniqueCount="157">
  <si>
    <t>报警名称</t>
    <phoneticPr fontId="1" type="noConversion"/>
  </si>
  <si>
    <t>报警原因</t>
    <phoneticPr fontId="1" type="noConversion"/>
  </si>
  <si>
    <t>自测步骤</t>
    <phoneticPr fontId="1" type="noConversion"/>
  </si>
  <si>
    <t>产生原因</t>
    <phoneticPr fontId="1" type="noConversion"/>
  </si>
  <si>
    <t>解除方式</t>
    <phoneticPr fontId="1" type="noConversion"/>
  </si>
  <si>
    <t>伺服 OFF 时移动指令</t>
    <phoneticPr fontId="1" type="noConversion"/>
  </si>
  <si>
    <t>回零未完成状态下的位置移动指令</t>
    <phoneticPr fontId="1" type="noConversion"/>
  </si>
  <si>
    <t>通讯模式:电机没有使能就发送运动指令
脉冲模式:电机没有使能就收到外部超过10个脉冲</t>
    <phoneticPr fontId="1" type="noConversion"/>
  </si>
  <si>
    <t>通讯模式：无
脉冲模式：电机没有回零就收到外部超过10个脉冲</t>
    <phoneticPr fontId="1" type="noConversion"/>
  </si>
  <si>
    <t>失能时发送超过10个脉冲</t>
    <phoneticPr fontId="1" type="noConversion"/>
  </si>
  <si>
    <t>上电使能后，未回零时就发送超过10个脉冲</t>
    <phoneticPr fontId="1" type="noConversion"/>
  </si>
  <si>
    <t>回零未完成状态下的数值指令</t>
    <phoneticPr fontId="1" type="noConversion"/>
  </si>
  <si>
    <t>上电使能后，未回零时就发送位置触发</t>
    <phoneticPr fontId="1" type="noConversion"/>
  </si>
  <si>
    <t>电机失能时发送位置触发或脉冲</t>
    <phoneticPr fontId="1" type="noConversion"/>
  </si>
  <si>
    <t>通讯模式：电机没有回零就发送位置触发。
脉冲模式：无</t>
    <phoneticPr fontId="1" type="noConversion"/>
  </si>
  <si>
    <t>电机未回零时发送脉冲</t>
    <phoneticPr fontId="1" type="noConversion"/>
  </si>
  <si>
    <t>电机未回零时发送位置触发</t>
    <phoneticPr fontId="1" type="noConversion"/>
  </si>
  <si>
    <t>回零执行中的移动指令</t>
    <phoneticPr fontId="1" type="noConversion"/>
  </si>
  <si>
    <t>通讯模式：电机正在回零就收到位置触发
脉冲模式：电机正在回零就收到外部超过10个脉冲</t>
    <phoneticPr fontId="1" type="noConversion"/>
  </si>
  <si>
    <t>上电使能后，回零动作时发送位置触发或超过10个脉冲</t>
    <phoneticPr fontId="1" type="noConversion"/>
  </si>
  <si>
    <t>电机回零时发送位置触发或脉冲</t>
    <phoneticPr fontId="1" type="noConversion"/>
  </si>
  <si>
    <t>移动式位置N0.异常</t>
    <phoneticPr fontId="1" type="noConversion"/>
  </si>
  <si>
    <t>脉冲串输入有效时的移动指令</t>
    <phoneticPr fontId="1" type="noConversion"/>
  </si>
  <si>
    <t>伺服ON时的软重启指令</t>
    <phoneticPr fontId="1" type="noConversion"/>
  </si>
  <si>
    <t>电机处于使能状态时收到软重启指令</t>
    <phoneticPr fontId="1" type="noConversion"/>
  </si>
  <si>
    <t>失能状态下，发送软重启指令</t>
    <phoneticPr fontId="1" type="noConversion"/>
  </si>
  <si>
    <t>示教时位置N0.异常</t>
    <phoneticPr fontId="1" type="noConversion"/>
  </si>
  <si>
    <t>移动中检出PWRT信号</t>
    <phoneticPr fontId="1" type="noConversion"/>
  </si>
  <si>
    <t>回零时检出PWRT信号</t>
    <phoneticPr fontId="1" type="noConversion"/>
  </si>
  <si>
    <t>基准位置移动指令下检出DCLR信号</t>
    <phoneticPr fontId="1" type="noConversion"/>
  </si>
  <si>
    <t>A1</t>
    <phoneticPr fontId="1" type="noConversion"/>
  </si>
  <si>
    <t>A2</t>
  </si>
  <si>
    <t>A3</t>
  </si>
  <si>
    <t>A4</t>
  </si>
  <si>
    <t>参数数据异常</t>
    <phoneticPr fontId="1" type="noConversion"/>
  </si>
  <si>
    <t>位置数据异常</t>
    <phoneticPr fontId="1" type="noConversion"/>
  </si>
  <si>
    <t>位置指令信息数据异常</t>
    <phoneticPr fontId="1" type="noConversion"/>
  </si>
  <si>
    <t>指令计数器溢出</t>
    <phoneticPr fontId="1" type="noConversion"/>
  </si>
  <si>
    <t>指令减速度异常</t>
    <phoneticPr fontId="1" type="noConversion"/>
  </si>
  <si>
    <t>A7</t>
    <phoneticPr fontId="1" type="noConversion"/>
  </si>
  <si>
    <t>A8</t>
    <phoneticPr fontId="1" type="noConversion"/>
  </si>
  <si>
    <t>不对应的马达、编码器类别</t>
    <phoneticPr fontId="1" type="noConversion"/>
  </si>
  <si>
    <t>B8</t>
    <phoneticPr fontId="1" type="noConversion"/>
  </si>
  <si>
    <t>BA</t>
    <phoneticPr fontId="1" type="noConversion"/>
  </si>
  <si>
    <t>BE</t>
    <phoneticPr fontId="1" type="noConversion"/>
  </si>
  <si>
    <t>励磁检出错误</t>
    <phoneticPr fontId="1" type="noConversion"/>
  </si>
  <si>
    <t>原点传感器未检出</t>
    <phoneticPr fontId="1" type="noConversion"/>
  </si>
  <si>
    <t>原点回零超时</t>
    <phoneticPr fontId="1" type="noConversion"/>
  </si>
  <si>
    <t>C0</t>
    <phoneticPr fontId="1" type="noConversion"/>
  </si>
  <si>
    <t>C1</t>
    <phoneticPr fontId="1" type="noConversion"/>
  </si>
  <si>
    <t>C8</t>
    <phoneticPr fontId="1" type="noConversion"/>
  </si>
  <si>
    <t>C9</t>
    <phoneticPr fontId="1" type="noConversion"/>
  </si>
  <si>
    <t>实际速度过快</t>
    <phoneticPr fontId="1" type="noConversion"/>
  </si>
  <si>
    <t>伺服异常</t>
    <phoneticPr fontId="1" type="noConversion"/>
  </si>
  <si>
    <t>过电流</t>
    <phoneticPr fontId="1" type="noConversion"/>
  </si>
  <si>
    <t>过电压</t>
    <phoneticPr fontId="1" type="noConversion"/>
  </si>
  <si>
    <t>过热</t>
    <phoneticPr fontId="1" type="noConversion"/>
  </si>
  <si>
    <t>CA</t>
    <phoneticPr fontId="1" type="noConversion"/>
  </si>
  <si>
    <t>CB</t>
    <phoneticPr fontId="1" type="noConversion"/>
  </si>
  <si>
    <t>CC</t>
    <phoneticPr fontId="1" type="noConversion"/>
  </si>
  <si>
    <t>CE</t>
    <phoneticPr fontId="1" type="noConversion"/>
  </si>
  <si>
    <t>CF</t>
    <phoneticPr fontId="1" type="noConversion"/>
  </si>
  <si>
    <t>电流传感器偏移，调整异常</t>
    <phoneticPr fontId="1" type="noConversion"/>
  </si>
  <si>
    <t>控制电源电压异常</t>
    <phoneticPr fontId="1" type="noConversion"/>
  </si>
  <si>
    <t>控制电源电压过低</t>
    <phoneticPr fontId="1" type="noConversion"/>
  </si>
  <si>
    <t>IO-24v电源异常</t>
    <phoneticPr fontId="1" type="noConversion"/>
  </si>
  <si>
    <t>D4</t>
    <phoneticPr fontId="1" type="noConversion"/>
  </si>
  <si>
    <t>D5</t>
    <phoneticPr fontId="1" type="noConversion"/>
  </si>
  <si>
    <t>D8</t>
    <phoneticPr fontId="1" type="noConversion"/>
  </si>
  <si>
    <t>D9</t>
    <phoneticPr fontId="1" type="noConversion"/>
  </si>
  <si>
    <t>DC</t>
    <phoneticPr fontId="1" type="noConversion"/>
  </si>
  <si>
    <t>DF</t>
    <phoneticPr fontId="1" type="noConversion"/>
  </si>
  <si>
    <t>驱动源异常</t>
    <phoneticPr fontId="1" type="noConversion"/>
  </si>
  <si>
    <t>原点复位未完成状态下的偏差计数器溢出</t>
    <phoneticPr fontId="1" type="noConversion"/>
  </si>
  <si>
    <t>偏差溢出</t>
    <phoneticPr fontId="1" type="noConversion"/>
  </si>
  <si>
    <t>行程软限超限错误</t>
    <phoneticPr fontId="1" type="noConversion"/>
  </si>
  <si>
    <t>推压动作范围超限错误</t>
    <phoneticPr fontId="1" type="noConversion"/>
  </si>
  <si>
    <t>碰撞检出</t>
    <phoneticPr fontId="1" type="noConversion"/>
  </si>
  <si>
    <t>E0</t>
    <phoneticPr fontId="1" type="noConversion"/>
  </si>
  <si>
    <t>E5</t>
    <phoneticPr fontId="1" type="noConversion"/>
  </si>
  <si>
    <t>E6</t>
    <phoneticPr fontId="1" type="noConversion"/>
  </si>
  <si>
    <t>E8</t>
    <phoneticPr fontId="1" type="noConversion"/>
  </si>
  <si>
    <t>EB</t>
    <phoneticPr fontId="1" type="noConversion"/>
  </si>
  <si>
    <t>过载</t>
    <phoneticPr fontId="1" type="noConversion"/>
  </si>
  <si>
    <t>编码器接收错误</t>
    <phoneticPr fontId="1" type="noConversion"/>
  </si>
  <si>
    <t>编码器计数错误</t>
    <phoneticPr fontId="1" type="noConversion"/>
  </si>
  <si>
    <t>A、B相断线</t>
    <phoneticPr fontId="1" type="noConversion"/>
  </si>
  <si>
    <t>免电池ABS错误</t>
    <phoneticPr fontId="1" type="noConversion"/>
  </si>
  <si>
    <t>F5</t>
    <phoneticPr fontId="1" type="noConversion"/>
  </si>
  <si>
    <t>F6</t>
    <phoneticPr fontId="1" type="noConversion"/>
  </si>
  <si>
    <t>F7</t>
    <phoneticPr fontId="1" type="noConversion"/>
  </si>
  <si>
    <t>F8</t>
    <phoneticPr fontId="1" type="noConversion"/>
  </si>
  <si>
    <t>非易失性存储器写入验证异常</t>
    <phoneticPr fontId="1" type="noConversion"/>
  </si>
  <si>
    <t>欠压</t>
    <phoneticPr fontId="1" type="noConversion"/>
  </si>
  <si>
    <t>堵转</t>
    <phoneticPr fontId="1" type="noConversion"/>
  </si>
  <si>
    <t>STO急停</t>
    <phoneticPr fontId="1" type="noConversion"/>
  </si>
  <si>
    <t>报警代码(HEX)</t>
    <phoneticPr fontId="1" type="noConversion"/>
  </si>
  <si>
    <t>报警代码(DEC)</t>
    <phoneticPr fontId="1" type="noConversion"/>
  </si>
  <si>
    <t>回零20s未找到堵转点</t>
    <phoneticPr fontId="1" type="noConversion"/>
  </si>
  <si>
    <t>实际速度大于4000转且持续200ms</t>
    <phoneticPr fontId="1" type="noConversion"/>
  </si>
  <si>
    <t>让电缸跑到最外面的位置并失能，用力猛推压电缸；或者电子齿轮比设置为1时发送频率大于273K的脉冲；或者设置较大的电子齿轮比</t>
    <phoneticPr fontId="1" type="noConversion"/>
  </si>
  <si>
    <t>母线电压大于30v并持续</t>
    <phoneticPr fontId="1" type="noConversion"/>
  </si>
  <si>
    <t>输入电压大于30v</t>
    <phoneticPr fontId="1" type="noConversion"/>
  </si>
  <si>
    <t>初始化时采的电压在1.65v的10%以外时(相电流采样电路异常)</t>
    <phoneticPr fontId="1" type="noConversion"/>
  </si>
  <si>
    <t>回零过程中非堵转的情况下，位置偏差大于半圈并保持1S</t>
    <phoneticPr fontId="1" type="noConversion"/>
  </si>
  <si>
    <t>回零过程中拔掉动力线</t>
    <phoneticPr fontId="1" type="noConversion"/>
  </si>
  <si>
    <t>1、阻力大
2、负载大
3、运行中动力线松动
4、PID参数没调好</t>
    <phoneticPr fontId="1" type="noConversion"/>
  </si>
  <si>
    <t>非推压段时，位置偏差大于4圈并保持500ms,电子齿轮比设置不合理会触发该报擎，表明电缸跟不上目标位置</t>
    <phoneticPr fontId="1" type="noConversion"/>
  </si>
  <si>
    <t>电子齿轮比4096:50，发脉冲会报警，或者尝试发送高频脉冲</t>
    <phoneticPr fontId="1" type="noConversion"/>
  </si>
  <si>
    <t>回零完成电机使能的情况下，当前位置超限位并保持1S</t>
    <phoneticPr fontId="1" type="noConversion"/>
  </si>
  <si>
    <t>使能时，拔掉动力线，拉电缸到超限位的位置</t>
    <phoneticPr fontId="1" type="noConversion"/>
  </si>
  <si>
    <t>1、电机线序错误，造成初始化误判到位
2、负载惯性大，将电缸带到限位外</t>
    <phoneticPr fontId="1" type="noConversion"/>
  </si>
  <si>
    <t>编码器线断开持续500ms以上</t>
    <phoneticPr fontId="1" type="noConversion"/>
  </si>
  <si>
    <t>任意状态，拔掉编码器线缆</t>
    <phoneticPr fontId="1" type="noConversion"/>
  </si>
  <si>
    <t>母线电压小于12v并持续</t>
    <phoneticPr fontId="1" type="noConversion"/>
  </si>
  <si>
    <t>输入小于12v的电压</t>
    <phoneticPr fontId="1" type="noConversion"/>
  </si>
  <si>
    <t>1、未正确连接电源线
2、运行撞机
3、未正确校准零电角</t>
    <phoneticPr fontId="1" type="noConversion"/>
  </si>
  <si>
    <t>通讯模式:无
脉冲模式:通过串行通信方式更新了驱动轴目标位置</t>
    <phoneticPr fontId="1" type="noConversion"/>
  </si>
  <si>
    <t>脉冲模式通过485更新目标位置</t>
    <phoneticPr fontId="1" type="noConversion"/>
  </si>
  <si>
    <t>非推压段发生堵转超5s</t>
    <phoneticPr fontId="1" type="noConversion"/>
  </si>
  <si>
    <t>在非推压段堵住电缸，使其进入堵转状态</t>
    <phoneticPr fontId="1" type="noConversion"/>
  </si>
  <si>
    <t>驱动电源断线</t>
    <phoneticPr fontId="1" type="noConversion"/>
  </si>
  <si>
    <t>收到超限位的位置信息</t>
    <phoneticPr fontId="1" type="noConversion"/>
  </si>
  <si>
    <t>通过485发送大于限位数值的位置信息</t>
    <phoneticPr fontId="1" type="noConversion"/>
  </si>
  <si>
    <t>1、持续输入的脉冲超过+2147483647
2、电子齿轮比设置不合理</t>
    <phoneticPr fontId="1" type="noConversion"/>
  </si>
  <si>
    <t>电子齿轮比按如下设置后发送脉冲。
分子0x0506设置为8181
分母0x0507设置为1</t>
    <phoneticPr fontId="1" type="noConversion"/>
  </si>
  <si>
    <t>电机电流超过8A</t>
    <phoneticPr fontId="1" type="noConversion"/>
  </si>
  <si>
    <t>电机运行中断开动力线，UVW串入3Ω的电阻短路，或者其他能产生超过8A电流的情况</t>
    <phoneticPr fontId="1" type="noConversion"/>
  </si>
  <si>
    <t>1、运行撞机
2、没校准零电角
3、PID没调好
4、电机短路</t>
    <phoneticPr fontId="1" type="noConversion"/>
  </si>
  <si>
    <t>进入推压段后，有外力推电缸到推压开始的位置</t>
    <phoneticPr fontId="1" type="noConversion"/>
  </si>
  <si>
    <t>进入推压段后将电缸推到推压段外</t>
    <phoneticPr fontId="1" type="noConversion"/>
  </si>
  <si>
    <t>实际电流超过额定电流，持续一定的时间后报警
(反时效曲线，电流越小持续时间越长)</t>
    <phoneticPr fontId="1" type="noConversion"/>
  </si>
  <si>
    <t>1、寄存器0x1407为IIT电流，单位0.01A，设置为4A，即400
2、寄存器0x1408为IIT时间，单位0.01S，设置为3S，即300
3、电缸加负载，间隔1.2秒往返运动，让其运动时的电流到2A左右，大概4分钟会报警</t>
    <phoneticPr fontId="1" type="noConversion"/>
  </si>
  <si>
    <t>1、运行电流持续大于额定电流
2、带大负载
3、没校准零电角
4、加减速过大
5、受到干扰</t>
    <phoneticPr fontId="1" type="noConversion"/>
  </si>
  <si>
    <t>检查电机动力线</t>
    <phoneticPr fontId="1" type="noConversion"/>
  </si>
  <si>
    <t>1、编码器线序错误
2、电机堵转
3、动力线没接
4、电机线序错</t>
    <phoneticPr fontId="1" type="noConversion"/>
  </si>
  <si>
    <t>重启解除</t>
    <phoneticPr fontId="1" type="noConversion"/>
  </si>
  <si>
    <t>动作解除</t>
    <phoneticPr fontId="1" type="noConversion"/>
  </si>
  <si>
    <t>重启解除</t>
    <phoneticPr fontId="1" type="noConversion"/>
  </si>
  <si>
    <t>重启解除</t>
    <phoneticPr fontId="1" type="noConversion"/>
  </si>
  <si>
    <t>动作解除</t>
    <phoneticPr fontId="1" type="noConversion"/>
  </si>
  <si>
    <t>重启解除</t>
    <phoneticPr fontId="1" type="noConversion"/>
  </si>
  <si>
    <t>重启解除</t>
    <phoneticPr fontId="1" type="noConversion"/>
  </si>
  <si>
    <t>动作解除</t>
    <phoneticPr fontId="1" type="noConversion"/>
  </si>
  <si>
    <t>1、电机线序错误，造成初始化时行程误判
2、负载惯性大，将电缸带到限位外</t>
    <phoneticPr fontId="1" type="noConversion"/>
  </si>
  <si>
    <t>1、编码器线序错误
2、电机线序错误
3、电机堵转
4、动力线未正确连接</t>
    <phoneticPr fontId="1" type="noConversion"/>
  </si>
  <si>
    <t>1、让电缸跑到最外面的位置并失能，用力猛推压电缸；
2、或电子齿轮比设置为1时发送频率大于273K的脉冲；
3、或设置较大的电子齿轮比</t>
    <phoneticPr fontId="1" type="noConversion"/>
  </si>
  <si>
    <t>1、运行撞机
2、未正确校准零电角
3、未正确设置PID参数
4、电机短路</t>
    <phoneticPr fontId="1" type="noConversion"/>
  </si>
  <si>
    <t>复现方法</t>
    <phoneticPr fontId="1" type="noConversion"/>
  </si>
  <si>
    <t>排查方向</t>
    <phoneticPr fontId="1" type="noConversion"/>
  </si>
  <si>
    <t>1、运行电流持续大于额定电流
2、安装负载过大
3、未正确校准零电角
4、加减速过大
5、受到干扰</t>
    <phoneticPr fontId="1" type="noConversion"/>
  </si>
  <si>
    <t>1、运行阻力过大
2、安装负载过大
3、运行中动力线松动
4、未正确设置PID参数</t>
    <phoneticPr fontId="1" type="noConversion"/>
  </si>
  <si>
    <t>1、未正确连接电源线
2、未正确校准零电角
3、运行中撞击</t>
    <phoneticPr fontId="1" type="noConversion"/>
  </si>
  <si>
    <t>大寰电缸故障代码一览表_2024.11.11</t>
    <phoneticPr fontId="1" type="noConversion"/>
  </si>
  <si>
    <t>回零过程中非堵转的情况下，位置偏差大于半圈并保持1s</t>
    <phoneticPr fontId="1" type="noConversion"/>
  </si>
  <si>
    <t>回零完成电机使能的情况下，当前位置超限位并保持1s</t>
    <phoneticPr fontId="1" type="noConversion"/>
  </si>
  <si>
    <t>1、发送位置信息超限
2、全行程初始化时行程范围误判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</si>
</sst>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tabSelected="1" zoomScaleNormal="100" workbookViewId="0">
      <pane ySplit="2" topLeftCell="A3" activePane="bottomLeft" state="frozen"/>
      <selection pane="bottomLeft" activeCell="F11" sqref="F11"/>
    </sheetView>
  </sheetViews>
  <sheetFormatPr defaultRowHeight="14.4" x14ac:dyDescent="0.25"/>
  <cols>
    <col min="1" max="2" width="5.77734375" style="1" customWidth="1"/>
    <col min="3" max="3" width="18.21875" style="2" customWidth="1"/>
    <col min="4" max="4" width="31" style="2" customWidth="1"/>
    <col min="5" max="5" width="30.77734375" style="2" customWidth="1"/>
    <col min="6" max="6" width="21.109375" style="2" customWidth="1"/>
    <col min="7" max="7" width="9.5546875" style="1" customWidth="1"/>
    <col min="8" max="16384" width="8.88671875" style="1"/>
  </cols>
  <sheetData>
    <row r="1" spans="1:7" ht="33.6" customHeight="1" x14ac:dyDescent="0.25">
      <c r="A1" s="15" t="s">
        <v>153</v>
      </c>
      <c r="B1" s="16"/>
      <c r="C1" s="16"/>
      <c r="D1" s="16"/>
      <c r="E1" s="16"/>
      <c r="F1" s="16"/>
      <c r="G1" s="17"/>
    </row>
    <row r="2" spans="1:7" ht="45" customHeight="1" x14ac:dyDescent="0.25">
      <c r="A2" s="3" t="s">
        <v>96</v>
      </c>
      <c r="B2" s="4" t="s">
        <v>97</v>
      </c>
      <c r="C2" s="4" t="s">
        <v>0</v>
      </c>
      <c r="D2" s="4" t="s">
        <v>1</v>
      </c>
      <c r="E2" s="4" t="s">
        <v>148</v>
      </c>
      <c r="F2" s="4" t="s">
        <v>149</v>
      </c>
      <c r="G2" s="4" t="s">
        <v>4</v>
      </c>
    </row>
    <row r="3" spans="1:7" ht="57.6" x14ac:dyDescent="0.25">
      <c r="A3" s="10">
        <v>80</v>
      </c>
      <c r="B3" s="10">
        <f>HEX2DEC(A3)</f>
        <v>128</v>
      </c>
      <c r="C3" s="11" t="s">
        <v>5</v>
      </c>
      <c r="D3" s="11" t="s">
        <v>7</v>
      </c>
      <c r="E3" s="11" t="s">
        <v>9</v>
      </c>
      <c r="F3" s="11" t="s">
        <v>13</v>
      </c>
      <c r="G3" s="12" t="s">
        <v>137</v>
      </c>
    </row>
    <row r="4" spans="1:7" ht="43.2" x14ac:dyDescent="0.25">
      <c r="A4" s="10">
        <v>82</v>
      </c>
      <c r="B4" s="10">
        <f t="shared" ref="B4:B30" si="0">HEX2DEC(A4)</f>
        <v>130</v>
      </c>
      <c r="C4" s="11" t="s">
        <v>6</v>
      </c>
      <c r="D4" s="11" t="s">
        <v>8</v>
      </c>
      <c r="E4" s="11" t="s">
        <v>10</v>
      </c>
      <c r="F4" s="11" t="s">
        <v>15</v>
      </c>
      <c r="G4" s="13"/>
    </row>
    <row r="5" spans="1:7" ht="43.2" x14ac:dyDescent="0.25">
      <c r="A5" s="10">
        <v>83</v>
      </c>
      <c r="B5" s="10">
        <f t="shared" si="0"/>
        <v>131</v>
      </c>
      <c r="C5" s="11" t="s">
        <v>11</v>
      </c>
      <c r="D5" s="11" t="s">
        <v>14</v>
      </c>
      <c r="E5" s="11" t="s">
        <v>12</v>
      </c>
      <c r="F5" s="11" t="s">
        <v>16</v>
      </c>
      <c r="G5" s="13"/>
    </row>
    <row r="6" spans="1:7" ht="57.6" x14ac:dyDescent="0.25">
      <c r="A6" s="10">
        <v>84</v>
      </c>
      <c r="B6" s="10">
        <f t="shared" si="0"/>
        <v>132</v>
      </c>
      <c r="C6" s="11" t="s">
        <v>17</v>
      </c>
      <c r="D6" s="11" t="s">
        <v>18</v>
      </c>
      <c r="E6" s="11" t="s">
        <v>19</v>
      </c>
      <c r="F6" s="11" t="s">
        <v>20</v>
      </c>
      <c r="G6" s="14"/>
    </row>
    <row r="7" spans="1:7" ht="43.2" x14ac:dyDescent="0.25">
      <c r="A7" s="10">
        <v>86</v>
      </c>
      <c r="B7" s="10">
        <f t="shared" si="0"/>
        <v>134</v>
      </c>
      <c r="C7" s="11" t="s">
        <v>22</v>
      </c>
      <c r="D7" s="11" t="s">
        <v>117</v>
      </c>
      <c r="E7" s="11" t="s">
        <v>118</v>
      </c>
      <c r="F7" s="11"/>
      <c r="G7" s="10" t="s">
        <v>138</v>
      </c>
    </row>
    <row r="8" spans="1:7" x14ac:dyDescent="0.25">
      <c r="A8" s="10"/>
      <c r="B8" s="10"/>
      <c r="C8" s="11"/>
      <c r="D8" s="11"/>
      <c r="E8" s="11"/>
      <c r="F8" s="11"/>
      <c r="G8" s="10"/>
    </row>
    <row r="9" spans="1:7" ht="28.8" x14ac:dyDescent="0.25">
      <c r="A9" s="5">
        <v>90</v>
      </c>
      <c r="B9" s="5">
        <f t="shared" si="0"/>
        <v>144</v>
      </c>
      <c r="C9" s="6" t="s">
        <v>23</v>
      </c>
      <c r="D9" s="6" t="s">
        <v>24</v>
      </c>
      <c r="E9" s="6" t="s">
        <v>25</v>
      </c>
      <c r="F9" s="6"/>
      <c r="G9" s="5" t="s">
        <v>143</v>
      </c>
    </row>
    <row r="10" spans="1:7" x14ac:dyDescent="0.25">
      <c r="A10" s="5"/>
      <c r="B10" s="5"/>
      <c r="C10" s="6"/>
      <c r="D10" s="6"/>
      <c r="E10" s="6"/>
      <c r="F10" s="6"/>
      <c r="G10" s="5"/>
    </row>
    <row r="11" spans="1:7" ht="43.2" x14ac:dyDescent="0.25">
      <c r="A11" s="10" t="s">
        <v>32</v>
      </c>
      <c r="B11" s="10">
        <f t="shared" si="0"/>
        <v>163</v>
      </c>
      <c r="C11" s="11" t="s">
        <v>36</v>
      </c>
      <c r="D11" s="11" t="s">
        <v>122</v>
      </c>
      <c r="E11" s="11" t="s">
        <v>123</v>
      </c>
      <c r="F11" s="11" t="s">
        <v>156</v>
      </c>
      <c r="G11" s="10" t="s">
        <v>137</v>
      </c>
    </row>
    <row r="12" spans="1:7" ht="57.6" x14ac:dyDescent="0.25">
      <c r="A12" s="10" t="s">
        <v>33</v>
      </c>
      <c r="B12" s="10">
        <f t="shared" si="0"/>
        <v>164</v>
      </c>
      <c r="C12" s="11" t="s">
        <v>37</v>
      </c>
      <c r="D12" s="11" t="s">
        <v>124</v>
      </c>
      <c r="E12" s="11" t="s">
        <v>125</v>
      </c>
      <c r="F12" s="11"/>
      <c r="G12" s="10" t="s">
        <v>136</v>
      </c>
    </row>
    <row r="13" spans="1:7" x14ac:dyDescent="0.25">
      <c r="A13" s="10"/>
      <c r="B13" s="10"/>
      <c r="C13" s="11"/>
      <c r="D13" s="11"/>
      <c r="E13" s="11"/>
      <c r="F13" s="11"/>
      <c r="G13" s="10"/>
    </row>
    <row r="14" spans="1:7" ht="57.6" x14ac:dyDescent="0.25">
      <c r="A14" s="5" t="s">
        <v>42</v>
      </c>
      <c r="B14" s="5">
        <f t="shared" si="0"/>
        <v>184</v>
      </c>
      <c r="C14" s="6" t="s">
        <v>45</v>
      </c>
      <c r="D14" s="6" t="s">
        <v>134</v>
      </c>
      <c r="E14" s="6"/>
      <c r="F14" s="6" t="s">
        <v>145</v>
      </c>
      <c r="G14" s="5" t="s">
        <v>142</v>
      </c>
    </row>
    <row r="15" spans="1:7" x14ac:dyDescent="0.25">
      <c r="A15" s="5"/>
      <c r="B15" s="5"/>
      <c r="C15" s="6"/>
      <c r="D15" s="6"/>
      <c r="E15" s="6"/>
      <c r="F15" s="6"/>
      <c r="G15" s="5"/>
    </row>
    <row r="16" spans="1:7" ht="72" x14ac:dyDescent="0.25">
      <c r="A16" s="10" t="s">
        <v>48</v>
      </c>
      <c r="B16" s="10">
        <f t="shared" si="0"/>
        <v>192</v>
      </c>
      <c r="C16" s="11" t="s">
        <v>52</v>
      </c>
      <c r="D16" s="11" t="s">
        <v>99</v>
      </c>
      <c r="E16" s="11" t="s">
        <v>146</v>
      </c>
      <c r="F16" s="11"/>
      <c r="G16" s="10" t="s">
        <v>143</v>
      </c>
    </row>
    <row r="17" spans="1:7" ht="57.6" x14ac:dyDescent="0.25">
      <c r="A17" s="10" t="s">
        <v>50</v>
      </c>
      <c r="B17" s="10">
        <f t="shared" si="0"/>
        <v>200</v>
      </c>
      <c r="C17" s="11" t="s">
        <v>54</v>
      </c>
      <c r="D17" s="11" t="s">
        <v>126</v>
      </c>
      <c r="E17" s="11" t="s">
        <v>127</v>
      </c>
      <c r="F17" s="11" t="s">
        <v>147</v>
      </c>
      <c r="G17" s="10" t="s">
        <v>139</v>
      </c>
    </row>
    <row r="18" spans="1:7" x14ac:dyDescent="0.25">
      <c r="A18" s="10" t="s">
        <v>51</v>
      </c>
      <c r="B18" s="10">
        <f t="shared" si="0"/>
        <v>201</v>
      </c>
      <c r="C18" s="11" t="s">
        <v>55</v>
      </c>
      <c r="D18" s="11" t="s">
        <v>101</v>
      </c>
      <c r="E18" s="11" t="s">
        <v>102</v>
      </c>
      <c r="F18" s="11"/>
      <c r="G18" s="10" t="s">
        <v>143</v>
      </c>
    </row>
    <row r="19" spans="1:7" ht="100.8" x14ac:dyDescent="0.25">
      <c r="A19" s="10" t="s">
        <v>57</v>
      </c>
      <c r="B19" s="10">
        <f t="shared" si="0"/>
        <v>202</v>
      </c>
      <c r="C19" s="11" t="s">
        <v>56</v>
      </c>
      <c r="D19" s="11" t="s">
        <v>131</v>
      </c>
      <c r="E19" s="11" t="s">
        <v>132</v>
      </c>
      <c r="F19" s="11" t="s">
        <v>150</v>
      </c>
      <c r="G19" s="10" t="s">
        <v>141</v>
      </c>
    </row>
    <row r="20" spans="1:7" x14ac:dyDescent="0.25">
      <c r="A20" s="10"/>
      <c r="B20" s="10"/>
      <c r="C20" s="11"/>
      <c r="D20" s="11"/>
      <c r="E20" s="11"/>
      <c r="F20" s="11"/>
      <c r="G20" s="10"/>
    </row>
    <row r="21" spans="1:7" ht="57.6" x14ac:dyDescent="0.25">
      <c r="A21" s="5" t="s">
        <v>67</v>
      </c>
      <c r="B21" s="5">
        <f t="shared" si="0"/>
        <v>213</v>
      </c>
      <c r="C21" s="6" t="s">
        <v>73</v>
      </c>
      <c r="D21" s="6" t="s">
        <v>154</v>
      </c>
      <c r="E21" s="6" t="s">
        <v>105</v>
      </c>
      <c r="F21" s="6" t="s">
        <v>151</v>
      </c>
      <c r="G21" s="7" t="s">
        <v>140</v>
      </c>
    </row>
    <row r="22" spans="1:7" ht="57.6" x14ac:dyDescent="0.25">
      <c r="A22" s="5" t="s">
        <v>68</v>
      </c>
      <c r="B22" s="5">
        <f t="shared" si="0"/>
        <v>216</v>
      </c>
      <c r="C22" s="6" t="s">
        <v>74</v>
      </c>
      <c r="D22" s="6" t="s">
        <v>107</v>
      </c>
      <c r="E22" s="6" t="s">
        <v>108</v>
      </c>
      <c r="F22" s="6" t="s">
        <v>151</v>
      </c>
      <c r="G22" s="8"/>
    </row>
    <row r="23" spans="1:7" ht="57.6" x14ac:dyDescent="0.25">
      <c r="A23" s="5" t="s">
        <v>69</v>
      </c>
      <c r="B23" s="5">
        <f t="shared" si="0"/>
        <v>217</v>
      </c>
      <c r="C23" s="6" t="s">
        <v>75</v>
      </c>
      <c r="D23" s="6" t="s">
        <v>155</v>
      </c>
      <c r="E23" s="6" t="s">
        <v>110</v>
      </c>
      <c r="F23" s="6" t="s">
        <v>144</v>
      </c>
      <c r="G23" s="7" t="s">
        <v>140</v>
      </c>
    </row>
    <row r="24" spans="1:7" ht="28.8" x14ac:dyDescent="0.25">
      <c r="A24" s="5" t="s">
        <v>70</v>
      </c>
      <c r="B24" s="5">
        <f t="shared" si="0"/>
        <v>220</v>
      </c>
      <c r="C24" s="6" t="s">
        <v>76</v>
      </c>
      <c r="D24" s="6" t="s">
        <v>129</v>
      </c>
      <c r="E24" s="6" t="s">
        <v>130</v>
      </c>
      <c r="F24" s="6"/>
      <c r="G24" s="8"/>
    </row>
    <row r="25" spans="1:7" x14ac:dyDescent="0.25">
      <c r="A25" s="5"/>
      <c r="B25" s="5"/>
      <c r="C25" s="6"/>
      <c r="D25" s="6"/>
      <c r="E25" s="6"/>
      <c r="F25" s="6"/>
      <c r="G25" s="5"/>
    </row>
    <row r="26" spans="1:7" x14ac:dyDescent="0.25">
      <c r="A26" s="10" t="s">
        <v>79</v>
      </c>
      <c r="B26" s="10">
        <f t="shared" si="0"/>
        <v>229</v>
      </c>
      <c r="C26" s="11" t="s">
        <v>84</v>
      </c>
      <c r="D26" s="11" t="s">
        <v>112</v>
      </c>
      <c r="E26" s="11" t="s">
        <v>113</v>
      </c>
      <c r="F26" s="11"/>
      <c r="G26" s="10" t="s">
        <v>136</v>
      </c>
    </row>
    <row r="27" spans="1:7" x14ac:dyDescent="0.25">
      <c r="A27" s="10"/>
      <c r="B27" s="10"/>
      <c r="C27" s="11"/>
      <c r="D27" s="11"/>
      <c r="E27" s="11"/>
      <c r="F27" s="11"/>
      <c r="G27" s="10"/>
    </row>
    <row r="28" spans="1:7" ht="43.2" x14ac:dyDescent="0.25">
      <c r="A28" s="5" t="s">
        <v>89</v>
      </c>
      <c r="B28" s="5">
        <f t="shared" si="0"/>
        <v>246</v>
      </c>
      <c r="C28" s="6" t="s">
        <v>93</v>
      </c>
      <c r="D28" s="6" t="s">
        <v>114</v>
      </c>
      <c r="E28" s="6" t="s">
        <v>115</v>
      </c>
      <c r="F28" s="6" t="s">
        <v>152</v>
      </c>
      <c r="G28" s="7" t="s">
        <v>137</v>
      </c>
    </row>
    <row r="29" spans="1:7" ht="28.8" x14ac:dyDescent="0.25">
      <c r="A29" s="5" t="s">
        <v>90</v>
      </c>
      <c r="B29" s="5">
        <f t="shared" si="0"/>
        <v>247</v>
      </c>
      <c r="C29" s="6" t="s">
        <v>94</v>
      </c>
      <c r="D29" s="6" t="s">
        <v>119</v>
      </c>
      <c r="E29" s="6" t="s">
        <v>120</v>
      </c>
      <c r="F29" s="6"/>
      <c r="G29" s="8"/>
    </row>
    <row r="30" spans="1:7" ht="43.2" x14ac:dyDescent="0.25">
      <c r="A30" s="5" t="s">
        <v>91</v>
      </c>
      <c r="B30" s="5">
        <f t="shared" si="0"/>
        <v>248</v>
      </c>
      <c r="C30" s="6" t="s">
        <v>95</v>
      </c>
      <c r="D30" s="6" t="s">
        <v>121</v>
      </c>
      <c r="E30" s="6"/>
      <c r="F30" s="6" t="s">
        <v>152</v>
      </c>
      <c r="G30" s="9"/>
    </row>
  </sheetData>
  <mergeCells count="5">
    <mergeCell ref="A1:G1"/>
    <mergeCell ref="G3:G6"/>
    <mergeCell ref="G28:G30"/>
    <mergeCell ref="G21:G22"/>
    <mergeCell ref="G23:G24"/>
  </mergeCells>
  <phoneticPr fontId="1" type="noConversion"/>
  <pageMargins left="0.23622047244094491" right="0.23622047244094491" top="0.74803149606299213" bottom="0.74803149606299213" header="0.31496062992125984" footer="0.31496062992125984"/>
  <pageSetup paperSize="9" scale="83" fitToHeight="0" orientation="portrait" verticalDpi="0" r:id="rId1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2"/>
  <sheetViews>
    <sheetView zoomScaleNormal="100" workbookViewId="0">
      <pane ySplit="1" topLeftCell="A8" activePane="bottomLeft" state="frozen"/>
      <selection pane="bottomLeft" activeCell="E19" sqref="E19"/>
    </sheetView>
  </sheetViews>
  <sheetFormatPr defaultRowHeight="14.4" x14ac:dyDescent="0.25"/>
  <cols>
    <col min="1" max="2" width="5.77734375" style="1" customWidth="1"/>
    <col min="3" max="3" width="18.21875" style="2" customWidth="1"/>
    <col min="4" max="4" width="31" style="2" customWidth="1"/>
    <col min="5" max="5" width="30.77734375" style="2" customWidth="1"/>
    <col min="6" max="6" width="21.109375" style="2" customWidth="1"/>
    <col min="7" max="7" width="13.77734375" style="1" customWidth="1"/>
    <col min="8" max="16384" width="8.88671875" style="1"/>
  </cols>
  <sheetData>
    <row r="1" spans="1:7" ht="50.4" customHeight="1" x14ac:dyDescent="0.25">
      <c r="A1" s="3" t="s">
        <v>96</v>
      </c>
      <c r="B1" s="4" t="s">
        <v>97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</row>
    <row r="2" spans="1:7" ht="57.6" x14ac:dyDescent="0.25">
      <c r="A2" s="10">
        <v>80</v>
      </c>
      <c r="B2" s="10">
        <f>HEX2DEC(A2)</f>
        <v>128</v>
      </c>
      <c r="C2" s="11" t="s">
        <v>5</v>
      </c>
      <c r="D2" s="11" t="s">
        <v>7</v>
      </c>
      <c r="E2" s="11" t="s">
        <v>9</v>
      </c>
      <c r="F2" s="11" t="s">
        <v>13</v>
      </c>
      <c r="G2" s="12" t="s">
        <v>137</v>
      </c>
    </row>
    <row r="3" spans="1:7" ht="43.2" x14ac:dyDescent="0.25">
      <c r="A3" s="10">
        <v>82</v>
      </c>
      <c r="B3" s="10">
        <f t="shared" ref="B3:B52" si="0">HEX2DEC(A3)</f>
        <v>130</v>
      </c>
      <c r="C3" s="11" t="s">
        <v>6</v>
      </c>
      <c r="D3" s="11" t="s">
        <v>8</v>
      </c>
      <c r="E3" s="11" t="s">
        <v>10</v>
      </c>
      <c r="F3" s="11" t="s">
        <v>15</v>
      </c>
      <c r="G3" s="13"/>
    </row>
    <row r="4" spans="1:7" ht="43.2" x14ac:dyDescent="0.25">
      <c r="A4" s="10">
        <v>83</v>
      </c>
      <c r="B4" s="10">
        <f t="shared" si="0"/>
        <v>131</v>
      </c>
      <c r="C4" s="11" t="s">
        <v>11</v>
      </c>
      <c r="D4" s="11" t="s">
        <v>14</v>
      </c>
      <c r="E4" s="11" t="s">
        <v>12</v>
      </c>
      <c r="F4" s="11" t="s">
        <v>16</v>
      </c>
      <c r="G4" s="13"/>
    </row>
    <row r="5" spans="1:7" ht="57.6" x14ac:dyDescent="0.25">
      <c r="A5" s="10">
        <v>84</v>
      </c>
      <c r="B5" s="10">
        <f t="shared" si="0"/>
        <v>132</v>
      </c>
      <c r="C5" s="11" t="s">
        <v>17</v>
      </c>
      <c r="D5" s="11" t="s">
        <v>18</v>
      </c>
      <c r="E5" s="11" t="s">
        <v>19</v>
      </c>
      <c r="F5" s="11" t="s">
        <v>20</v>
      </c>
      <c r="G5" s="14"/>
    </row>
    <row r="6" spans="1:7" x14ac:dyDescent="0.25">
      <c r="A6" s="10">
        <v>85</v>
      </c>
      <c r="B6" s="10">
        <f t="shared" si="0"/>
        <v>133</v>
      </c>
      <c r="C6" s="11" t="s">
        <v>21</v>
      </c>
      <c r="D6" s="11"/>
      <c r="E6" s="11"/>
      <c r="F6" s="11"/>
      <c r="G6" s="10"/>
    </row>
    <row r="7" spans="1:7" ht="43.2" x14ac:dyDescent="0.25">
      <c r="A7" s="10">
        <v>86</v>
      </c>
      <c r="B7" s="10">
        <f t="shared" si="0"/>
        <v>134</v>
      </c>
      <c r="C7" s="11" t="s">
        <v>22</v>
      </c>
      <c r="D7" s="11" t="s">
        <v>117</v>
      </c>
      <c r="E7" s="11" t="s">
        <v>118</v>
      </c>
      <c r="F7" s="11"/>
      <c r="G7" s="10" t="s">
        <v>138</v>
      </c>
    </row>
    <row r="8" spans="1:7" x14ac:dyDescent="0.25">
      <c r="A8" s="10"/>
      <c r="B8" s="10"/>
      <c r="C8" s="11"/>
      <c r="D8" s="11"/>
      <c r="E8" s="11"/>
      <c r="F8" s="11"/>
      <c r="G8" s="10"/>
    </row>
    <row r="9" spans="1:7" ht="28.8" x14ac:dyDescent="0.25">
      <c r="A9" s="5">
        <v>90</v>
      </c>
      <c r="B9" s="5">
        <f t="shared" si="0"/>
        <v>144</v>
      </c>
      <c r="C9" s="6" t="s">
        <v>23</v>
      </c>
      <c r="D9" s="6" t="s">
        <v>24</v>
      </c>
      <c r="E9" s="6" t="s">
        <v>25</v>
      </c>
      <c r="F9" s="6"/>
      <c r="G9" s="5" t="s">
        <v>143</v>
      </c>
    </row>
    <row r="10" spans="1:7" x14ac:dyDescent="0.25">
      <c r="A10" s="5">
        <v>91</v>
      </c>
      <c r="B10" s="5">
        <f t="shared" si="0"/>
        <v>145</v>
      </c>
      <c r="C10" s="6" t="s">
        <v>26</v>
      </c>
      <c r="D10" s="6"/>
      <c r="E10" s="6"/>
      <c r="F10" s="6"/>
      <c r="G10" s="5"/>
    </row>
    <row r="11" spans="1:7" ht="28.8" x14ac:dyDescent="0.25">
      <c r="A11" s="5">
        <v>92</v>
      </c>
      <c r="B11" s="5">
        <f t="shared" si="0"/>
        <v>146</v>
      </c>
      <c r="C11" s="6" t="s">
        <v>27</v>
      </c>
      <c r="D11" s="6"/>
      <c r="E11" s="6"/>
      <c r="F11" s="6"/>
      <c r="G11" s="5"/>
    </row>
    <row r="12" spans="1:7" ht="28.8" x14ac:dyDescent="0.25">
      <c r="A12" s="5">
        <v>93</v>
      </c>
      <c r="B12" s="5">
        <f t="shared" si="0"/>
        <v>147</v>
      </c>
      <c r="C12" s="6" t="s">
        <v>28</v>
      </c>
      <c r="D12" s="6"/>
      <c r="E12" s="6"/>
      <c r="F12" s="6"/>
      <c r="G12" s="5"/>
    </row>
    <row r="13" spans="1:7" ht="28.8" x14ac:dyDescent="0.25">
      <c r="A13" s="5">
        <v>95</v>
      </c>
      <c r="B13" s="5">
        <f t="shared" si="0"/>
        <v>149</v>
      </c>
      <c r="C13" s="6" t="s">
        <v>29</v>
      </c>
      <c r="D13" s="6"/>
      <c r="E13" s="6"/>
      <c r="F13" s="6"/>
      <c r="G13" s="5"/>
    </row>
    <row r="14" spans="1:7" x14ac:dyDescent="0.25">
      <c r="A14" s="5"/>
      <c r="B14" s="5"/>
      <c r="C14" s="6"/>
      <c r="D14" s="6"/>
      <c r="E14" s="6"/>
      <c r="F14" s="6"/>
      <c r="G14" s="5"/>
    </row>
    <row r="15" spans="1:7" x14ac:dyDescent="0.25">
      <c r="A15" s="10" t="s">
        <v>30</v>
      </c>
      <c r="B15" s="10">
        <f t="shared" si="0"/>
        <v>161</v>
      </c>
      <c r="C15" s="11" t="s">
        <v>34</v>
      </c>
      <c r="D15" s="11"/>
      <c r="E15" s="11"/>
      <c r="F15" s="11"/>
      <c r="G15" s="10"/>
    </row>
    <row r="16" spans="1:7" x14ac:dyDescent="0.25">
      <c r="A16" s="10" t="s">
        <v>31</v>
      </c>
      <c r="B16" s="10">
        <f t="shared" si="0"/>
        <v>162</v>
      </c>
      <c r="C16" s="11" t="s">
        <v>35</v>
      </c>
      <c r="D16" s="11"/>
      <c r="E16" s="11"/>
      <c r="F16" s="11"/>
      <c r="G16" s="10"/>
    </row>
    <row r="17" spans="1:7" ht="43.2" x14ac:dyDescent="0.25">
      <c r="A17" s="10" t="s">
        <v>32</v>
      </c>
      <c r="B17" s="10">
        <f t="shared" si="0"/>
        <v>163</v>
      </c>
      <c r="C17" s="11" t="s">
        <v>36</v>
      </c>
      <c r="D17" s="11" t="s">
        <v>122</v>
      </c>
      <c r="E17" s="11" t="s">
        <v>123</v>
      </c>
      <c r="F17" s="11" t="s">
        <v>156</v>
      </c>
      <c r="G17" s="10" t="s">
        <v>137</v>
      </c>
    </row>
    <row r="18" spans="1:7" ht="57.6" x14ac:dyDescent="0.25">
      <c r="A18" s="10" t="s">
        <v>33</v>
      </c>
      <c r="B18" s="10">
        <f t="shared" si="0"/>
        <v>164</v>
      </c>
      <c r="C18" s="11" t="s">
        <v>37</v>
      </c>
      <c r="D18" s="11" t="s">
        <v>124</v>
      </c>
      <c r="E18" s="11" t="s">
        <v>125</v>
      </c>
      <c r="F18" s="11"/>
      <c r="G18" s="10" t="s">
        <v>136</v>
      </c>
    </row>
    <row r="19" spans="1:7" x14ac:dyDescent="0.25">
      <c r="A19" s="10" t="s">
        <v>39</v>
      </c>
      <c r="B19" s="10">
        <f t="shared" si="0"/>
        <v>167</v>
      </c>
      <c r="C19" s="11" t="s">
        <v>38</v>
      </c>
      <c r="D19" s="11"/>
      <c r="E19" s="11"/>
      <c r="F19" s="11"/>
      <c r="G19" s="10"/>
    </row>
    <row r="20" spans="1:7" ht="28.8" x14ac:dyDescent="0.25">
      <c r="A20" s="10" t="s">
        <v>40</v>
      </c>
      <c r="B20" s="10">
        <f t="shared" si="0"/>
        <v>168</v>
      </c>
      <c r="C20" s="11" t="s">
        <v>41</v>
      </c>
      <c r="D20" s="11"/>
      <c r="E20" s="11"/>
      <c r="F20" s="11"/>
      <c r="G20" s="10"/>
    </row>
    <row r="21" spans="1:7" x14ac:dyDescent="0.25">
      <c r="A21" s="10"/>
      <c r="B21" s="10"/>
      <c r="C21" s="11"/>
      <c r="D21" s="11"/>
      <c r="E21" s="11"/>
      <c r="F21" s="11"/>
      <c r="G21" s="10"/>
    </row>
    <row r="22" spans="1:7" ht="57.6" x14ac:dyDescent="0.25">
      <c r="A22" s="5" t="s">
        <v>42</v>
      </c>
      <c r="B22" s="5">
        <f t="shared" si="0"/>
        <v>184</v>
      </c>
      <c r="C22" s="6" t="s">
        <v>45</v>
      </c>
      <c r="D22" s="6" t="s">
        <v>134</v>
      </c>
      <c r="E22" s="6"/>
      <c r="F22" s="6" t="s">
        <v>135</v>
      </c>
      <c r="G22" s="5" t="s">
        <v>142</v>
      </c>
    </row>
    <row r="23" spans="1:7" x14ac:dyDescent="0.25">
      <c r="A23" s="5" t="s">
        <v>43</v>
      </c>
      <c r="B23" s="5">
        <f t="shared" si="0"/>
        <v>186</v>
      </c>
      <c r="C23" s="6" t="s">
        <v>46</v>
      </c>
      <c r="D23" s="6"/>
      <c r="E23" s="6"/>
      <c r="F23" s="6"/>
      <c r="G23" s="5"/>
    </row>
    <row r="24" spans="1:7" x14ac:dyDescent="0.25">
      <c r="A24" s="5" t="s">
        <v>44</v>
      </c>
      <c r="B24" s="5">
        <f t="shared" si="0"/>
        <v>190</v>
      </c>
      <c r="C24" s="6" t="s">
        <v>47</v>
      </c>
      <c r="D24" s="6" t="s">
        <v>98</v>
      </c>
      <c r="E24" s="6"/>
      <c r="F24" s="6"/>
      <c r="G24" s="5"/>
    </row>
    <row r="25" spans="1:7" x14ac:dyDescent="0.25">
      <c r="A25" s="5"/>
      <c r="B25" s="5"/>
      <c r="C25" s="6"/>
      <c r="D25" s="6"/>
      <c r="E25" s="6"/>
      <c r="F25" s="6"/>
      <c r="G25" s="5"/>
    </row>
    <row r="26" spans="1:7" ht="72" x14ac:dyDescent="0.25">
      <c r="A26" s="10" t="s">
        <v>48</v>
      </c>
      <c r="B26" s="10">
        <f t="shared" si="0"/>
        <v>192</v>
      </c>
      <c r="C26" s="11" t="s">
        <v>52</v>
      </c>
      <c r="D26" s="11" t="s">
        <v>99</v>
      </c>
      <c r="E26" s="11" t="s">
        <v>100</v>
      </c>
      <c r="F26" s="11"/>
      <c r="G26" s="10"/>
    </row>
    <row r="27" spans="1:7" x14ac:dyDescent="0.25">
      <c r="A27" s="10" t="s">
        <v>49</v>
      </c>
      <c r="B27" s="10">
        <f t="shared" si="0"/>
        <v>193</v>
      </c>
      <c r="C27" s="11" t="s">
        <v>53</v>
      </c>
      <c r="D27" s="11"/>
      <c r="E27" s="11"/>
      <c r="F27" s="11"/>
      <c r="G27" s="10"/>
    </row>
    <row r="28" spans="1:7" ht="57.6" x14ac:dyDescent="0.25">
      <c r="A28" s="10" t="s">
        <v>50</v>
      </c>
      <c r="B28" s="10">
        <f t="shared" si="0"/>
        <v>200</v>
      </c>
      <c r="C28" s="11" t="s">
        <v>54</v>
      </c>
      <c r="D28" s="11" t="s">
        <v>126</v>
      </c>
      <c r="E28" s="11" t="s">
        <v>127</v>
      </c>
      <c r="F28" s="11" t="s">
        <v>128</v>
      </c>
      <c r="G28" s="10" t="s">
        <v>139</v>
      </c>
    </row>
    <row r="29" spans="1:7" x14ac:dyDescent="0.25">
      <c r="A29" s="10" t="s">
        <v>51</v>
      </c>
      <c r="B29" s="10">
        <f t="shared" si="0"/>
        <v>201</v>
      </c>
      <c r="C29" s="11" t="s">
        <v>55</v>
      </c>
      <c r="D29" s="11" t="s">
        <v>101</v>
      </c>
      <c r="E29" s="11" t="s">
        <v>102</v>
      </c>
      <c r="F29" s="11"/>
      <c r="G29" s="10"/>
    </row>
    <row r="30" spans="1:7" ht="100.8" x14ac:dyDescent="0.25">
      <c r="A30" s="10" t="s">
        <v>57</v>
      </c>
      <c r="B30" s="10">
        <f t="shared" si="0"/>
        <v>202</v>
      </c>
      <c r="C30" s="11" t="s">
        <v>56</v>
      </c>
      <c r="D30" s="11" t="s">
        <v>131</v>
      </c>
      <c r="E30" s="11" t="s">
        <v>132</v>
      </c>
      <c r="F30" s="11" t="s">
        <v>133</v>
      </c>
      <c r="G30" s="10" t="s">
        <v>141</v>
      </c>
    </row>
    <row r="31" spans="1:7" ht="28.8" x14ac:dyDescent="0.25">
      <c r="A31" s="10" t="s">
        <v>58</v>
      </c>
      <c r="B31" s="10">
        <f t="shared" si="0"/>
        <v>203</v>
      </c>
      <c r="C31" s="11" t="s">
        <v>62</v>
      </c>
      <c r="D31" s="11" t="s">
        <v>103</v>
      </c>
      <c r="E31" s="11"/>
      <c r="F31" s="11"/>
      <c r="G31" s="10"/>
    </row>
    <row r="32" spans="1:7" x14ac:dyDescent="0.25">
      <c r="A32" s="10" t="s">
        <v>59</v>
      </c>
      <c r="B32" s="10">
        <f t="shared" si="0"/>
        <v>204</v>
      </c>
      <c r="C32" s="11" t="s">
        <v>63</v>
      </c>
      <c r="D32" s="11"/>
      <c r="E32" s="11"/>
      <c r="F32" s="11"/>
      <c r="G32" s="10"/>
    </row>
    <row r="33" spans="1:7" x14ac:dyDescent="0.25">
      <c r="A33" s="10" t="s">
        <v>60</v>
      </c>
      <c r="B33" s="10">
        <f t="shared" si="0"/>
        <v>206</v>
      </c>
      <c r="C33" s="11" t="s">
        <v>64</v>
      </c>
      <c r="D33" s="11"/>
      <c r="E33" s="11"/>
      <c r="F33" s="11"/>
      <c r="G33" s="10"/>
    </row>
    <row r="34" spans="1:7" x14ac:dyDescent="0.25">
      <c r="A34" s="10" t="s">
        <v>61</v>
      </c>
      <c r="B34" s="10">
        <f t="shared" si="0"/>
        <v>207</v>
      </c>
      <c r="C34" s="11" t="s">
        <v>65</v>
      </c>
      <c r="D34" s="11"/>
      <c r="E34" s="11"/>
      <c r="F34" s="11"/>
      <c r="G34" s="10"/>
    </row>
    <row r="35" spans="1:7" x14ac:dyDescent="0.25">
      <c r="A35" s="10"/>
      <c r="B35" s="10"/>
      <c r="C35" s="11"/>
      <c r="D35" s="11"/>
      <c r="E35" s="11"/>
      <c r="F35" s="11"/>
      <c r="G35" s="10"/>
    </row>
    <row r="36" spans="1:7" x14ac:dyDescent="0.25">
      <c r="A36" s="5" t="s">
        <v>66</v>
      </c>
      <c r="B36" s="5">
        <f t="shared" si="0"/>
        <v>212</v>
      </c>
      <c r="C36" s="6" t="s">
        <v>72</v>
      </c>
      <c r="D36" s="6"/>
      <c r="E36" s="6"/>
      <c r="F36" s="6"/>
      <c r="G36" s="5"/>
    </row>
    <row r="37" spans="1:7" ht="57.6" x14ac:dyDescent="0.25">
      <c r="A37" s="5" t="s">
        <v>67</v>
      </c>
      <c r="B37" s="5">
        <f t="shared" si="0"/>
        <v>213</v>
      </c>
      <c r="C37" s="6" t="s">
        <v>73</v>
      </c>
      <c r="D37" s="6" t="s">
        <v>104</v>
      </c>
      <c r="E37" s="6" t="s">
        <v>105</v>
      </c>
      <c r="F37" s="6" t="s">
        <v>106</v>
      </c>
      <c r="G37" s="5"/>
    </row>
    <row r="38" spans="1:7" ht="57.6" x14ac:dyDescent="0.25">
      <c r="A38" s="5" t="s">
        <v>68</v>
      </c>
      <c r="B38" s="5">
        <f t="shared" si="0"/>
        <v>216</v>
      </c>
      <c r="C38" s="6" t="s">
        <v>74</v>
      </c>
      <c r="D38" s="6" t="s">
        <v>107</v>
      </c>
      <c r="E38" s="6" t="s">
        <v>108</v>
      </c>
      <c r="F38" s="6" t="s">
        <v>106</v>
      </c>
      <c r="G38" s="5"/>
    </row>
    <row r="39" spans="1:7" ht="57.6" x14ac:dyDescent="0.25">
      <c r="A39" s="5" t="s">
        <v>69</v>
      </c>
      <c r="B39" s="5">
        <f t="shared" si="0"/>
        <v>217</v>
      </c>
      <c r="C39" s="6" t="s">
        <v>75</v>
      </c>
      <c r="D39" s="6" t="s">
        <v>109</v>
      </c>
      <c r="E39" s="6" t="s">
        <v>110</v>
      </c>
      <c r="F39" s="6" t="s">
        <v>111</v>
      </c>
      <c r="G39" s="5"/>
    </row>
    <row r="40" spans="1:7" ht="28.8" x14ac:dyDescent="0.25">
      <c r="A40" s="5" t="s">
        <v>70</v>
      </c>
      <c r="B40" s="5">
        <f t="shared" si="0"/>
        <v>220</v>
      </c>
      <c r="C40" s="6" t="s">
        <v>76</v>
      </c>
      <c r="D40" s="6" t="s">
        <v>129</v>
      </c>
      <c r="E40" s="6" t="s">
        <v>130</v>
      </c>
      <c r="F40" s="6"/>
      <c r="G40" s="5" t="s">
        <v>140</v>
      </c>
    </row>
    <row r="41" spans="1:7" x14ac:dyDescent="0.25">
      <c r="A41" s="5" t="s">
        <v>71</v>
      </c>
      <c r="B41" s="5">
        <f t="shared" si="0"/>
        <v>223</v>
      </c>
      <c r="C41" s="6" t="s">
        <v>77</v>
      </c>
      <c r="D41" s="6"/>
      <c r="E41" s="6"/>
      <c r="F41" s="6"/>
      <c r="G41" s="5"/>
    </row>
    <row r="42" spans="1:7" x14ac:dyDescent="0.25">
      <c r="A42" s="5"/>
      <c r="B42" s="5"/>
      <c r="C42" s="6"/>
      <c r="D42" s="6"/>
      <c r="E42" s="6"/>
      <c r="F42" s="6"/>
      <c r="G42" s="5"/>
    </row>
    <row r="43" spans="1:7" x14ac:dyDescent="0.25">
      <c r="A43" s="10" t="s">
        <v>78</v>
      </c>
      <c r="B43" s="10">
        <f t="shared" si="0"/>
        <v>224</v>
      </c>
      <c r="C43" s="11" t="s">
        <v>83</v>
      </c>
      <c r="D43" s="11"/>
      <c r="E43" s="11"/>
      <c r="F43" s="11"/>
      <c r="G43" s="10"/>
    </row>
    <row r="44" spans="1:7" x14ac:dyDescent="0.25">
      <c r="A44" s="10" t="s">
        <v>79</v>
      </c>
      <c r="B44" s="10">
        <f t="shared" si="0"/>
        <v>229</v>
      </c>
      <c r="C44" s="11" t="s">
        <v>84</v>
      </c>
      <c r="D44" s="11" t="s">
        <v>112</v>
      </c>
      <c r="E44" s="11" t="s">
        <v>113</v>
      </c>
      <c r="F44" s="11"/>
      <c r="G44" s="10" t="s">
        <v>136</v>
      </c>
    </row>
    <row r="45" spans="1:7" x14ac:dyDescent="0.25">
      <c r="A45" s="10" t="s">
        <v>80</v>
      </c>
      <c r="B45" s="10">
        <f t="shared" si="0"/>
        <v>230</v>
      </c>
      <c r="C45" s="11" t="s">
        <v>85</v>
      </c>
      <c r="D45" s="11"/>
      <c r="E45" s="11"/>
      <c r="F45" s="11"/>
      <c r="G45" s="10"/>
    </row>
    <row r="46" spans="1:7" x14ac:dyDescent="0.25">
      <c r="A46" s="10" t="s">
        <v>81</v>
      </c>
      <c r="B46" s="10">
        <f t="shared" si="0"/>
        <v>232</v>
      </c>
      <c r="C46" s="11" t="s">
        <v>86</v>
      </c>
      <c r="D46" s="11"/>
      <c r="E46" s="11"/>
      <c r="F46" s="11"/>
      <c r="G46" s="10"/>
    </row>
    <row r="47" spans="1:7" x14ac:dyDescent="0.25">
      <c r="A47" s="10" t="s">
        <v>82</v>
      </c>
      <c r="B47" s="10">
        <f t="shared" si="0"/>
        <v>235</v>
      </c>
      <c r="C47" s="11" t="s">
        <v>87</v>
      </c>
      <c r="D47" s="11"/>
      <c r="E47" s="11"/>
      <c r="F47" s="11"/>
      <c r="G47" s="10"/>
    </row>
    <row r="48" spans="1:7" x14ac:dyDescent="0.25">
      <c r="A48" s="10"/>
      <c r="B48" s="10"/>
      <c r="C48" s="11"/>
      <c r="D48" s="11"/>
      <c r="E48" s="11"/>
      <c r="F48" s="11"/>
      <c r="G48" s="10"/>
    </row>
    <row r="49" spans="1:7" ht="28.8" x14ac:dyDescent="0.25">
      <c r="A49" s="5" t="s">
        <v>88</v>
      </c>
      <c r="B49" s="5">
        <f t="shared" si="0"/>
        <v>245</v>
      </c>
      <c r="C49" s="6" t="s">
        <v>92</v>
      </c>
      <c r="D49" s="6"/>
      <c r="E49" s="6"/>
      <c r="F49" s="6"/>
      <c r="G49" s="5"/>
    </row>
    <row r="50" spans="1:7" ht="43.2" x14ac:dyDescent="0.25">
      <c r="A50" s="5" t="s">
        <v>89</v>
      </c>
      <c r="B50" s="5">
        <f t="shared" si="0"/>
        <v>246</v>
      </c>
      <c r="C50" s="6" t="s">
        <v>93</v>
      </c>
      <c r="D50" s="6" t="s">
        <v>114</v>
      </c>
      <c r="E50" s="6" t="s">
        <v>115</v>
      </c>
      <c r="F50" s="6" t="s">
        <v>116</v>
      </c>
      <c r="G50" s="7" t="s">
        <v>137</v>
      </c>
    </row>
    <row r="51" spans="1:7" ht="28.8" x14ac:dyDescent="0.25">
      <c r="A51" s="5" t="s">
        <v>90</v>
      </c>
      <c r="B51" s="5">
        <f t="shared" si="0"/>
        <v>247</v>
      </c>
      <c r="C51" s="6" t="s">
        <v>94</v>
      </c>
      <c r="D51" s="6" t="s">
        <v>119</v>
      </c>
      <c r="E51" s="6" t="s">
        <v>120</v>
      </c>
      <c r="F51" s="6"/>
      <c r="G51" s="8"/>
    </row>
    <row r="52" spans="1:7" ht="43.2" x14ac:dyDescent="0.25">
      <c r="A52" s="5" t="s">
        <v>91</v>
      </c>
      <c r="B52" s="5">
        <f t="shared" si="0"/>
        <v>248</v>
      </c>
      <c r="C52" s="6" t="s">
        <v>95</v>
      </c>
      <c r="D52" s="6" t="s">
        <v>121</v>
      </c>
      <c r="E52" s="6"/>
      <c r="F52" s="6" t="s">
        <v>116</v>
      </c>
      <c r="G52" s="9"/>
    </row>
  </sheetData>
  <mergeCells count="2">
    <mergeCell ref="G50:G52"/>
    <mergeCell ref="G2:G5"/>
  </mergeCells>
  <phoneticPr fontId="1" type="noConversion"/>
  <pageMargins left="0.25" right="0.25" top="0.75" bottom="0.75" header="0.3" footer="0.3"/>
  <pageSetup paperSize="9" scale="79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外发版</vt:lpstr>
      <vt:lpstr>内部预留版</vt:lpstr>
      <vt:lpstr>外发版!Print_Titles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2024-11-11T06:11:39Z</dcterms:modified>
</cp:coreProperties>
</file>